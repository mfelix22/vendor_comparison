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nnd\Downloads\"/>
    </mc:Choice>
  </mc:AlternateContent>
  <xr:revisionPtr revIDLastSave="0" documentId="8_{DF55A198-02F0-44E0-ADD8-B7925F881E99}" xr6:coauthVersionLast="47" xr6:coauthVersionMax="47" xr10:uidLastSave="{00000000-0000-0000-0000-000000000000}"/>
  <bookViews>
    <workbookView xWindow="-110" yWindow="-110" windowWidth="19420" windowHeight="10300" xr2:uid="{84E2ECA6-075E-405B-A3A2-09FCF5D6A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19" i="1"/>
  <c r="C17" i="1"/>
  <c r="C16" i="1"/>
  <c r="C22" i="1" s="1"/>
  <c r="C9" i="1"/>
  <c r="C13" i="1" s="1"/>
  <c r="C24" i="1" s="1"/>
  <c r="B9" i="1"/>
  <c r="B13" i="1" s="1"/>
  <c r="B24" i="1" s="1"/>
</calcChain>
</file>

<file path=xl/sharedStrings.xml><?xml version="1.0" encoding="utf-8"?>
<sst xmlns="http://schemas.openxmlformats.org/spreadsheetml/2006/main" count="40" uniqueCount="35">
  <si>
    <t>Sekretariat Jendral Biro Perencanaan Kementrian Perhubungan RI</t>
  </si>
  <si>
    <t>Brand :</t>
  </si>
  <si>
    <t>Chery</t>
  </si>
  <si>
    <t>Type Kendaraan :</t>
  </si>
  <si>
    <t>E5</t>
  </si>
  <si>
    <t>J6 RWD</t>
  </si>
  <si>
    <t>BBN :</t>
  </si>
  <si>
    <t>Jakarta</t>
  </si>
  <si>
    <t>Pemakaian :</t>
  </si>
  <si>
    <t>Jabodetabek</t>
  </si>
  <si>
    <t>Harga OTR</t>
  </si>
  <si>
    <t>Diskon</t>
  </si>
  <si>
    <t>Harga Nett</t>
  </si>
  <si>
    <t>Estimasi kenaikan harga</t>
  </si>
  <si>
    <t>Harga setelah estimasi kenaikan</t>
  </si>
  <si>
    <t xml:space="preserve">Tambahan : </t>
  </si>
  <si>
    <t>Wall Charger</t>
  </si>
  <si>
    <t>Biaya lepas Wall Charger</t>
  </si>
  <si>
    <t>KF Antigores 80%
Baris Penumpang &amp; Bagasi</t>
  </si>
  <si>
    <t>Talang Air</t>
  </si>
  <si>
    <t>Total Acc</t>
  </si>
  <si>
    <t>Harga Unit + Aksesoris</t>
  </si>
  <si>
    <t>INPUT/ODOO</t>
  </si>
  <si>
    <t>I THINK THIS IS IN ODOO IN LOT/SERIAL MAYBE JUST GET THE BBN DATA THEN SAVE INTO DATABASE AND MAKE IT SELECTABLE</t>
  </si>
  <si>
    <t>THIS ONE IS USER INPUT</t>
  </si>
  <si>
    <t>USER INPUT</t>
  </si>
  <si>
    <t>SUM OR MINUS HARGA OTR AND DISKON</t>
  </si>
  <si>
    <t>SUM OR MINUS FROM HARGA NETT + ESTIMASI KENAIKAN</t>
  </si>
  <si>
    <t xml:space="preserve">USER INPUT CAN CLICK + </t>
  </si>
  <si>
    <t>CAN CLICK + TO ADD A NEW COSTING FOR 1 BRAND AND TYPE KENDARAAN</t>
  </si>
  <si>
    <t>INPUT</t>
  </si>
  <si>
    <t xml:space="preserve">THIS IS DETECTING ODOO PRODUCT ON LOT/SERIAL </t>
  </si>
  <si>
    <t>Tambahan template</t>
  </si>
  <si>
    <t>SUM of Tambahan</t>
  </si>
  <si>
    <t>SUM of Harga Nett/ Harga Setelah Kenaikan + Total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</si>
</sst>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65" fontId="3" fillId="0" borderId="0" xfId="1" applyNumberFormat="1" applyFont="1"/>
    <xf numFmtId="165" fontId="2" fillId="0" borderId="0" xfId="1" applyNumberFormat="1" applyFont="1"/>
    <xf numFmtId="165" fontId="0" fillId="0" borderId="0" xfId="1" applyNumberFormat="1" applyFont="1"/>
    <xf numFmtId="165" fontId="4" fillId="2" borderId="1" xfId="1" applyNumberFormat="1" applyFont="1" applyFill="1" applyBorder="1" applyAlignment="1">
      <alignment horizontal="left" vertical="center"/>
    </xf>
    <xf numFmtId="165" fontId="4" fillId="2" borderId="1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/>
    <xf numFmtId="165" fontId="4" fillId="3" borderId="1" xfId="1" applyNumberFormat="1" applyFont="1" applyFill="1" applyBorder="1" applyAlignment="1">
      <alignment horizontal="center"/>
    </xf>
    <xf numFmtId="165" fontId="4" fillId="0" borderId="1" xfId="1" applyNumberFormat="1" applyFont="1" applyFill="1" applyBorder="1" applyAlignment="1"/>
    <xf numFmtId="165" fontId="4" fillId="0" borderId="2" xfId="1" applyNumberFormat="1" applyFont="1" applyFill="1" applyBorder="1" applyAlignment="1"/>
    <xf numFmtId="165" fontId="5" fillId="0" borderId="1" xfId="1" applyNumberFormat="1" applyFont="1" applyBorder="1"/>
    <xf numFmtId="165" fontId="6" fillId="0" borderId="1" xfId="1" applyNumberFormat="1" applyFont="1" applyBorder="1"/>
    <xf numFmtId="165" fontId="4" fillId="0" borderId="1" xfId="1" applyNumberFormat="1" applyFont="1" applyBorder="1"/>
    <xf numFmtId="165" fontId="2" fillId="0" borderId="1" xfId="1" applyNumberFormat="1" applyFont="1" applyBorder="1"/>
    <xf numFmtId="165" fontId="0" fillId="0" borderId="1" xfId="1" applyNumberFormat="1" applyFont="1" applyBorder="1"/>
    <xf numFmtId="165" fontId="1" fillId="0" borderId="1" xfId="1" applyNumberFormat="1" applyFont="1" applyBorder="1"/>
    <xf numFmtId="165" fontId="0" fillId="0" borderId="1" xfId="1" applyNumberFormat="1" applyFont="1" applyBorder="1" applyAlignment="1">
      <alignment vertical="center" wrapText="1"/>
    </xf>
    <xf numFmtId="165" fontId="1" fillId="0" borderId="1" xfId="1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EC0D-B8DA-4DA6-8E19-015A6171A8A6}">
  <dimension ref="A1:E24"/>
  <sheetViews>
    <sheetView tabSelected="1" workbookViewId="0">
      <selection activeCell="D25" sqref="D25"/>
    </sheetView>
  </sheetViews>
  <sheetFormatPr defaultRowHeight="14.5" x14ac:dyDescent="0.35"/>
  <cols>
    <col min="1" max="1" width="57.36328125" bestFit="1" customWidth="1"/>
    <col min="2" max="3" width="13" bestFit="1" customWidth="1"/>
  </cols>
  <sheetData>
    <row r="1" spans="1:5" x14ac:dyDescent="0.35">
      <c r="A1" s="1" t="s">
        <v>0</v>
      </c>
      <c r="B1" s="2" t="s">
        <v>22</v>
      </c>
    </row>
    <row r="2" spans="1:5" x14ac:dyDescent="0.35">
      <c r="A2" s="3"/>
      <c r="B2" s="3" t="s">
        <v>29</v>
      </c>
    </row>
    <row r="3" spans="1:5" x14ac:dyDescent="0.35">
      <c r="A3" s="4" t="s">
        <v>1</v>
      </c>
      <c r="B3" s="5" t="s">
        <v>2</v>
      </c>
      <c r="C3" s="5" t="s">
        <v>2</v>
      </c>
      <c r="D3" s="19" t="s">
        <v>30</v>
      </c>
      <c r="E3" s="20"/>
    </row>
    <row r="4" spans="1:5" x14ac:dyDescent="0.35">
      <c r="A4" s="4" t="s">
        <v>3</v>
      </c>
      <c r="B4" s="6" t="s">
        <v>4</v>
      </c>
      <c r="C4" s="6" t="s">
        <v>5</v>
      </c>
      <c r="D4" s="19" t="s">
        <v>31</v>
      </c>
      <c r="E4" s="20"/>
    </row>
    <row r="5" spans="1:5" x14ac:dyDescent="0.35">
      <c r="A5" s="7" t="s">
        <v>6</v>
      </c>
      <c r="B5" s="8" t="s">
        <v>7</v>
      </c>
      <c r="C5" s="8" t="s">
        <v>7</v>
      </c>
      <c r="D5" t="s">
        <v>23</v>
      </c>
    </row>
    <row r="6" spans="1:5" x14ac:dyDescent="0.35">
      <c r="A6" s="7" t="s">
        <v>8</v>
      </c>
      <c r="B6" s="8" t="s">
        <v>9</v>
      </c>
      <c r="C6" s="8" t="s">
        <v>9</v>
      </c>
      <c r="D6" t="s">
        <v>24</v>
      </c>
    </row>
    <row r="7" spans="1:5" x14ac:dyDescent="0.35">
      <c r="A7" s="9" t="s">
        <v>10</v>
      </c>
      <c r="B7" s="10">
        <v>419900000</v>
      </c>
      <c r="C7" s="10">
        <v>560500000</v>
      </c>
      <c r="D7" t="s">
        <v>25</v>
      </c>
    </row>
    <row r="8" spans="1:5" x14ac:dyDescent="0.35">
      <c r="A8" s="11" t="s">
        <v>11</v>
      </c>
      <c r="B8" s="12">
        <v>0</v>
      </c>
      <c r="C8" s="12">
        <v>0</v>
      </c>
      <c r="D8" t="s">
        <v>25</v>
      </c>
    </row>
    <row r="9" spans="1:5" x14ac:dyDescent="0.35">
      <c r="A9" s="13" t="s">
        <v>12</v>
      </c>
      <c r="B9" s="14">
        <f>SUM(B7:B7)-B8</f>
        <v>419900000</v>
      </c>
      <c r="C9" s="14">
        <f>SUM(C7:C7)-C8</f>
        <v>560500000</v>
      </c>
      <c r="D9" t="s">
        <v>26</v>
      </c>
    </row>
    <row r="10" spans="1:5" x14ac:dyDescent="0.35">
      <c r="A10" s="11"/>
      <c r="B10" s="14"/>
      <c r="C10" s="14"/>
    </row>
    <row r="11" spans="1:5" x14ac:dyDescent="0.35">
      <c r="A11" s="13" t="s">
        <v>13</v>
      </c>
      <c r="B11" s="14">
        <v>0</v>
      </c>
      <c r="C11" s="14">
        <v>0</v>
      </c>
      <c r="D11" t="s">
        <v>25</v>
      </c>
    </row>
    <row r="12" spans="1:5" x14ac:dyDescent="0.35">
      <c r="A12" s="11"/>
      <c r="B12" s="14"/>
      <c r="C12" s="14"/>
    </row>
    <row r="13" spans="1:5" x14ac:dyDescent="0.35">
      <c r="A13" s="13" t="s">
        <v>14</v>
      </c>
      <c r="B13" s="14">
        <f>SUM(B9:B12)</f>
        <v>419900000</v>
      </c>
      <c r="C13" s="14">
        <f>SUM(C9:C12)</f>
        <v>560500000</v>
      </c>
      <c r="D13" t="s">
        <v>27</v>
      </c>
    </row>
    <row r="14" spans="1:5" x14ac:dyDescent="0.35">
      <c r="A14" s="15"/>
      <c r="B14" s="16"/>
      <c r="C14" s="16"/>
    </row>
    <row r="15" spans="1:5" x14ac:dyDescent="0.35">
      <c r="A15" s="15" t="s">
        <v>15</v>
      </c>
      <c r="B15" s="16"/>
      <c r="C15" s="16"/>
      <c r="D15" t="s">
        <v>32</v>
      </c>
    </row>
    <row r="16" spans="1:5" x14ac:dyDescent="0.35">
      <c r="A16" s="15" t="s">
        <v>16</v>
      </c>
      <c r="B16" s="16">
        <v>11500000</v>
      </c>
      <c r="C16" s="16">
        <f>B16</f>
        <v>11500000</v>
      </c>
      <c r="D16" t="s">
        <v>28</v>
      </c>
    </row>
    <row r="17" spans="1:4" x14ac:dyDescent="0.35">
      <c r="A17" s="15" t="s">
        <v>17</v>
      </c>
      <c r="B17" s="16">
        <v>2000000</v>
      </c>
      <c r="C17" s="16">
        <f>B17</f>
        <v>2000000</v>
      </c>
    </row>
    <row r="18" spans="1:4" ht="29" x14ac:dyDescent="0.35">
      <c r="A18" s="17" t="s">
        <v>18</v>
      </c>
      <c r="B18" s="18">
        <v>600000</v>
      </c>
      <c r="C18" s="18">
        <v>800000</v>
      </c>
    </row>
    <row r="19" spans="1:4" x14ac:dyDescent="0.35">
      <c r="A19" s="17" t="s">
        <v>19</v>
      </c>
      <c r="B19" s="18">
        <v>1000000</v>
      </c>
      <c r="C19" s="18">
        <f>B19</f>
        <v>1000000</v>
      </c>
    </row>
    <row r="20" spans="1:4" x14ac:dyDescent="0.35">
      <c r="A20" s="15"/>
      <c r="B20" s="16"/>
      <c r="C20" s="16"/>
    </row>
    <row r="21" spans="1:4" x14ac:dyDescent="0.35">
      <c r="A21" s="15"/>
      <c r="B21" s="16"/>
      <c r="C21" s="16"/>
    </row>
    <row r="22" spans="1:4" x14ac:dyDescent="0.35">
      <c r="A22" s="15" t="s">
        <v>20</v>
      </c>
      <c r="B22" s="16">
        <f>SUM(B15:B21)</f>
        <v>15100000</v>
      </c>
      <c r="C22" s="16">
        <f>SUM(C15:C21)</f>
        <v>15300000</v>
      </c>
      <c r="D22" t="s">
        <v>33</v>
      </c>
    </row>
    <row r="23" spans="1:4" x14ac:dyDescent="0.35">
      <c r="A23" s="15"/>
      <c r="B23" s="16"/>
      <c r="C23" s="16"/>
    </row>
    <row r="24" spans="1:4" x14ac:dyDescent="0.35">
      <c r="A24" s="14" t="s">
        <v>21</v>
      </c>
      <c r="B24" s="14">
        <f>B13+B22</f>
        <v>435000000</v>
      </c>
      <c r="C24" s="14">
        <f>C13+C22</f>
        <v>575800000</v>
      </c>
      <c r="D2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IT</dc:creator>
  <cp:lastModifiedBy>Admin IT</cp:lastModifiedBy>
  <dcterms:created xsi:type="dcterms:W3CDTF">2026-10-08T01:46:09Z</dcterms:created>
  <dcterms:modified xsi:type="dcterms:W3CDTF">2026-10-08T01:53:24Z</dcterms:modified>
</cp:coreProperties>
</file>